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Non Course Content\Free CFI Templates\Excel\"/>
    </mc:Choice>
  </mc:AlternateContent>
  <xr:revisionPtr revIDLastSave="0" documentId="13_ncr:1_{FFEF9D39-F8B6-42C6-B2D3-C05122541BED}" xr6:coauthVersionLast="47" xr6:coauthVersionMax="47" xr10:uidLastSave="{00000000-0000-0000-0000-000000000000}"/>
  <bookViews>
    <workbookView xWindow="-96" yWindow="-96" windowWidth="23232" windowHeight="12696" tabRatio="685" xr2:uid="{00000000-000D-0000-FFFF-FFFF00000000}"/>
  </bookViews>
  <sheets>
    <sheet name="Cover Page" sheetId="27" r:id="rId1"/>
    <sheet name="DCF Model" sheetId="25" r:id="rId2"/>
  </sheets>
  <definedNames>
    <definedName name="_xlchart.v1.0" hidden="1">'DCF Model'!$L$37:$L$39</definedName>
    <definedName name="_xlchart.v1.1" hidden="1">'DCF Model'!$N$37:$N$39</definedName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 calcMode="autoNoTable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8" i="25" l="1"/>
  <c r="N37" i="25" s="1"/>
  <c r="F20" i="25" l="1"/>
  <c r="G20" i="25" s="1"/>
  <c r="G19" i="25" s="1"/>
  <c r="G18" i="25" s="1"/>
  <c r="E19" i="25"/>
  <c r="E18" i="25" s="1"/>
  <c r="F19" i="25" l="1"/>
  <c r="F18" i="25" s="1"/>
  <c r="H20" i="25"/>
  <c r="I20" i="25" s="1"/>
  <c r="I19" i="25" s="1"/>
  <c r="F25" i="25"/>
  <c r="G25" i="25"/>
  <c r="H25" i="25"/>
  <c r="I25" i="25"/>
  <c r="E25" i="25"/>
  <c r="I35" i="25"/>
  <c r="I34" i="25"/>
  <c r="D35" i="25"/>
  <c r="D34" i="25"/>
  <c r="G21" i="25" l="1"/>
  <c r="F21" i="25"/>
  <c r="I18" i="25"/>
  <c r="J19" i="25"/>
  <c r="H19" i="25"/>
  <c r="I21" i="25" s="1"/>
  <c r="I33" i="25"/>
  <c r="D19" i="25"/>
  <c r="E21" i="25" s="1"/>
  <c r="H18" i="25" l="1"/>
  <c r="H21" i="25"/>
  <c r="I36" i="25"/>
  <c r="D28" i="25" s="1"/>
  <c r="D30" i="25" s="1"/>
  <c r="E23" i="25" l="1"/>
  <c r="E27" i="25" l="1"/>
  <c r="E29" i="25" l="1"/>
  <c r="E30" i="25"/>
  <c r="F23" i="25"/>
  <c r="F27" i="25" l="1"/>
  <c r="G23" i="25"/>
  <c r="G27" i="25" s="1"/>
  <c r="G29" i="25" l="1"/>
  <c r="G30" i="25"/>
  <c r="F29" i="25"/>
  <c r="F30" i="25"/>
  <c r="H23" i="25"/>
  <c r="I23" i="25" l="1"/>
  <c r="H27" i="25" l="1"/>
  <c r="H29" i="25" l="1"/>
  <c r="H30" i="25"/>
  <c r="N20" i="25"/>
  <c r="I27" i="25"/>
  <c r="I30" i="25" s="1"/>
  <c r="N19" i="25" l="1"/>
  <c r="N21" i="25" s="1"/>
  <c r="I29" i="25"/>
  <c r="J28" i="25" l="1"/>
  <c r="J29" i="25" l="1"/>
  <c r="D33" i="25" s="1"/>
  <c r="D36" i="25" s="1"/>
  <c r="D38" i="25" s="1"/>
  <c r="J30" i="25"/>
  <c r="N34" i="25" s="1"/>
  <c r="N33" i="25" l="1"/>
  <c r="N38" i="25"/>
  <c r="N39" i="25" s="1"/>
</calcChain>
</file>

<file path=xl/sharedStrings.xml><?xml version="1.0" encoding="utf-8"?>
<sst xmlns="http://schemas.openxmlformats.org/spreadsheetml/2006/main" count="69" uniqueCount="62">
  <si>
    <t>Cash</t>
  </si>
  <si>
    <t>Debt</t>
  </si>
  <si>
    <t>Assumptions</t>
  </si>
  <si>
    <t>DCF Model</t>
  </si>
  <si>
    <t>EBIT</t>
  </si>
  <si>
    <t>Less: Cash Taxes</t>
  </si>
  <si>
    <t>Less: Capex</t>
  </si>
  <si>
    <t>Less: Changes in NWC</t>
  </si>
  <si>
    <t>Plus: D&amp;A</t>
  </si>
  <si>
    <t>Terminal Value</t>
  </si>
  <si>
    <t>Perpetural Growth</t>
  </si>
  <si>
    <t>Tax Rate</t>
  </si>
  <si>
    <t>Discount Rate</t>
  </si>
  <si>
    <t>Perpetural Growth Rate</t>
  </si>
  <si>
    <t>EV/EBITDA Mulltiple</t>
  </si>
  <si>
    <t>Unlevered FCF</t>
  </si>
  <si>
    <t>(Entry)/Exit</t>
  </si>
  <si>
    <t>EV/EBITDA</t>
  </si>
  <si>
    <t>Average</t>
  </si>
  <si>
    <t>Transaction Date</t>
  </si>
  <si>
    <t>Discounted Cash Flow</t>
  </si>
  <si>
    <t>Shares Outstanding</t>
  </si>
  <si>
    <t>Entry</t>
  </si>
  <si>
    <t>Exit</t>
  </si>
  <si>
    <t>Date</t>
  </si>
  <si>
    <t>Current Price</t>
  </si>
  <si>
    <t>Market Cap</t>
  </si>
  <si>
    <t>Plus: Debt</t>
  </si>
  <si>
    <t>Less: Cash</t>
  </si>
  <si>
    <t>Enterprise Value</t>
  </si>
  <si>
    <t>Plus: Cash</t>
  </si>
  <si>
    <t>Less: Debt</t>
  </si>
  <si>
    <t>Equity Value</t>
  </si>
  <si>
    <t>Equity Value/Share</t>
  </si>
  <si>
    <t>Intrinsic Value</t>
  </si>
  <si>
    <t>Market Value</t>
  </si>
  <si>
    <t>Rate of Return</t>
  </si>
  <si>
    <t>Target Price Upside</t>
  </si>
  <si>
    <t>Capex</t>
  </si>
  <si>
    <t>https://corporatefinanceinstitute.com/</t>
  </si>
  <si>
    <t>Instructions</t>
  </si>
  <si>
    <t>Fiscal Year End</t>
  </si>
  <si>
    <t>Transaction CF</t>
  </si>
  <si>
    <t>Year Fraction</t>
  </si>
  <si>
    <t>Time Periods</t>
  </si>
  <si>
    <t>Step 1: Get EBIT and D&amp;A from the income statement</t>
  </si>
  <si>
    <t>Step 2: Calculate the net working capital</t>
  </si>
  <si>
    <t>There are two ways to find NWC:</t>
  </si>
  <si>
    <t>1. NWC = Current Assets (less cash) - Current Liabilities (less debt)</t>
  </si>
  <si>
    <t>2. NWC = Accounts Receivable + Inventory - Accounts Payable</t>
  </si>
  <si>
    <t>Strictly Confidential</t>
  </si>
  <si>
    <t>Table of Contents</t>
  </si>
  <si>
    <t>Market Value vs Intrinsic Value</t>
  </si>
  <si>
    <t>Upside</t>
  </si>
  <si>
    <t>Internal Rate of Return (IRR)</t>
  </si>
  <si>
    <t>This Excel model is for educational purposes only and should not be used for any other reason. All content is Copyright material of CFI Education Inc.</t>
  </si>
  <si>
    <t>All rights reserved.  The contents of this publication, including but not limited to all written material, content layout, images, formulas, and code, are protected</t>
  </si>
  <si>
    <t>under international copyright and trademark laws.  No part of this publication may be modified, manipulated, reproduced, distributed, or transmitted in any</t>
  </si>
  <si>
    <t xml:space="preserve">form by any means, including photocopying, recording, or other electronic or mechanical methods, without prior written permission of the publisher, </t>
  </si>
  <si>
    <t>except in the case of certain noncommercial uses permitted by copyright law.</t>
  </si>
  <si>
    <t xml:space="preserve"> </t>
  </si>
  <si>
    <t>© 2015 to 2025 CFI Education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</si>
</sst>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-* #,##0_-;\(#,##0\)_-;_-* &quot;-&quot;_-;_-@_-"/>
    <numFmt numFmtId="166" formatCode="_-* #,##0_-;\-* #,##0_-;_-* &quot;-&quot;??_-;_-@_-"/>
    <numFmt numFmtId="167" formatCode="_(* #,##0_);_(* \(#,##0\);_(* &quot;-&quot;??_);_(@_)"/>
    <numFmt numFmtId="168" formatCode="0.0\x"/>
    <numFmt numFmtId="169" formatCode="_-* #,##0.00_-;\(#,##0.00\)_-;_-* &quot;-&quot;_-;_-@_-"/>
    <numFmt numFmtId="170" formatCode="_(#,##0_)_%;\(#,##0\)_%;_(&quot;–&quot;_)_%;_(@_)_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Calibri"/>
      <family val="2"/>
      <scheme val="minor"/>
    </font>
    <font>
      <sz val="8"/>
      <color theme="0"/>
      <name val="Open Sans"/>
      <family val="2"/>
    </font>
    <font>
      <sz val="12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1"/>
      <name val="Open sans"/>
      <family val="2"/>
    </font>
    <font>
      <sz val="11"/>
      <color theme="0"/>
      <name val="Open sans"/>
      <family val="2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u/>
      <sz val="12"/>
      <color rgb="FF3271D2"/>
      <name val="Open Sans"/>
      <family val="2"/>
    </font>
    <font>
      <u/>
      <sz val="12"/>
      <color theme="10"/>
      <name val="Open Sans"/>
      <family val="2"/>
    </font>
    <font>
      <sz val="10"/>
      <color rgb="FF002060"/>
      <name val="Open Sans"/>
      <family val="2"/>
    </font>
    <font>
      <b/>
      <sz val="12"/>
      <color theme="0"/>
      <name val="Open Sans"/>
      <family val="2"/>
    </font>
    <font>
      <sz val="10"/>
      <color theme="0"/>
      <name val="Open Sans"/>
      <family val="2"/>
    </font>
    <font>
      <b/>
      <sz val="14"/>
      <color rgb="FF3271D2"/>
      <name val="Open Sans"/>
      <family val="2"/>
    </font>
    <font>
      <u/>
      <sz val="10"/>
      <color theme="10"/>
      <name val="Open Sans"/>
      <family val="2"/>
    </font>
    <font>
      <sz val="10"/>
      <color rgb="FF3271D2"/>
      <name val="Open Sans"/>
      <family val="2"/>
    </font>
    <font>
      <b/>
      <sz val="10"/>
      <color rgb="FF000000"/>
      <name val="Open Sans"/>
      <family val="2"/>
    </font>
    <font>
      <i/>
      <sz val="10"/>
      <color rgb="FF000000"/>
      <name val="Open Sans"/>
      <family val="2"/>
    </font>
    <font>
      <sz val="10"/>
      <color rgb="FF00000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2" tint="0.79998168889431442"/>
        <bgColor rgb="FF000000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ck">
        <color rgb="FF132E57"/>
      </left>
      <right/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12" fillId="0" borderId="0" applyNumberFormat="0" applyFill="0" applyBorder="0" applyAlignment="0" applyProtection="0"/>
    <xf numFmtId="0" fontId="2" fillId="0" borderId="0"/>
    <xf numFmtId="0" fontId="12" fillId="0" borderId="0" applyNumberFormat="0" applyFill="0" applyBorder="0" applyAlignment="0" applyProtection="0"/>
  </cellStyleXfs>
  <cellXfs count="88">
    <xf numFmtId="0" fontId="0" fillId="0" borderId="0" xfId="0"/>
    <xf numFmtId="165" fontId="3" fillId="2" borderId="0" xfId="1" applyNumberFormat="1" applyFont="1" applyFill="1"/>
    <xf numFmtId="165" fontId="4" fillId="2" borderId="0" xfId="1" applyNumberFormat="1" applyFont="1" applyFill="1"/>
    <xf numFmtId="165" fontId="4" fillId="2" borderId="0" xfId="1" applyNumberFormat="1" applyFont="1" applyFill="1" applyAlignment="1">
      <alignment horizontal="center"/>
    </xf>
    <xf numFmtId="165" fontId="5" fillId="0" borderId="0" xfId="1" applyNumberFormat="1" applyFont="1"/>
    <xf numFmtId="165" fontId="6" fillId="0" borderId="0" xfId="1" applyNumberFormat="1" applyFont="1"/>
    <xf numFmtId="165" fontId="5" fillId="0" borderId="0" xfId="1" applyNumberFormat="1" applyFont="1" applyAlignment="1">
      <alignment horizontal="center"/>
    </xf>
    <xf numFmtId="165" fontId="7" fillId="0" borderId="0" xfId="1" applyNumberFormat="1" applyFont="1"/>
    <xf numFmtId="165" fontId="9" fillId="0" borderId="0" xfId="1" applyNumberFormat="1" applyFont="1"/>
    <xf numFmtId="14" fontId="7" fillId="0" borderId="0" xfId="1" applyNumberFormat="1" applyFont="1"/>
    <xf numFmtId="165" fontId="5" fillId="0" borderId="0" xfId="1" applyNumberFormat="1" applyFont="1" applyBorder="1"/>
    <xf numFmtId="165" fontId="7" fillId="0" borderId="0" xfId="1" applyNumberFormat="1" applyFont="1" applyBorder="1"/>
    <xf numFmtId="169" fontId="5" fillId="0" borderId="0" xfId="1" applyNumberFormat="1" applyFont="1"/>
    <xf numFmtId="165" fontId="10" fillId="0" borderId="0" xfId="1" applyNumberFormat="1" applyFont="1"/>
    <xf numFmtId="165" fontId="9" fillId="0" borderId="0" xfId="1" applyNumberFormat="1" applyFont="1" applyBorder="1"/>
    <xf numFmtId="14" fontId="10" fillId="0" borderId="0" xfId="1" applyNumberFormat="1" applyFont="1" applyBorder="1"/>
    <xf numFmtId="165" fontId="10" fillId="0" borderId="0" xfId="1" applyNumberFormat="1" applyFont="1" applyBorder="1"/>
    <xf numFmtId="165" fontId="5" fillId="0" borderId="0" xfId="1" applyNumberFormat="1" applyFont="1" applyAlignment="1">
      <alignment horizontal="left" indent="5"/>
    </xf>
    <xf numFmtId="0" fontId="1" fillId="0" borderId="0" xfId="7" applyFont="1"/>
    <xf numFmtId="0" fontId="1" fillId="2" borderId="2" xfId="7" applyFont="1" applyFill="1" applyBorder="1"/>
    <xf numFmtId="0" fontId="1" fillId="2" borderId="3" xfId="7" applyFont="1" applyFill="1" applyBorder="1"/>
    <xf numFmtId="0" fontId="1" fillId="2" borderId="4" xfId="7" applyFont="1" applyFill="1" applyBorder="1"/>
    <xf numFmtId="0" fontId="1" fillId="2" borderId="5" xfId="7" applyFont="1" applyFill="1" applyBorder="1"/>
    <xf numFmtId="0" fontId="1" fillId="2" borderId="0" xfId="7" applyFont="1" applyFill="1"/>
    <xf numFmtId="0" fontId="1" fillId="2" borderId="6" xfId="7" applyFont="1" applyFill="1" applyBorder="1"/>
    <xf numFmtId="0" fontId="1" fillId="0" borderId="5" xfId="7" applyFont="1" applyBorder="1"/>
    <xf numFmtId="0" fontId="1" fillId="0" borderId="6" xfId="7" applyFont="1" applyBorder="1"/>
    <xf numFmtId="0" fontId="15" fillId="0" borderId="0" xfId="7" applyFont="1" applyProtection="1">
      <protection locked="0"/>
    </xf>
    <xf numFmtId="0" fontId="16" fillId="0" borderId="0" xfId="7" applyFont="1" applyAlignment="1">
      <alignment horizontal="right"/>
    </xf>
    <xf numFmtId="0" fontId="1" fillId="0" borderId="0" xfId="7" applyFont="1" applyProtection="1">
      <protection locked="0"/>
    </xf>
    <xf numFmtId="0" fontId="13" fillId="0" borderId="0" xfId="7" applyFont="1"/>
    <xf numFmtId="0" fontId="16" fillId="0" borderId="7" xfId="7" applyFont="1" applyBorder="1" applyProtection="1">
      <protection locked="0"/>
    </xf>
    <xf numFmtId="0" fontId="5" fillId="0" borderId="0" xfId="7" applyFont="1"/>
    <xf numFmtId="170" fontId="17" fillId="0" borderId="0" xfId="4" applyNumberFormat="1" applyFont="1" applyFill="1" applyBorder="1" applyProtection="1">
      <protection locked="0"/>
    </xf>
    <xf numFmtId="170" fontId="18" fillId="0" borderId="0" xfId="8" applyNumberFormat="1" applyFont="1" applyFill="1" applyBorder="1" applyProtection="1">
      <protection locked="0"/>
    </xf>
    <xf numFmtId="0" fontId="19" fillId="0" borderId="0" xfId="8" applyFont="1" applyFill="1" applyBorder="1" applyProtection="1">
      <protection locked="0"/>
    </xf>
    <xf numFmtId="170" fontId="4" fillId="0" borderId="0" xfId="7" applyNumberFormat="1" applyFont="1"/>
    <xf numFmtId="170" fontId="12" fillId="0" borderId="0" xfId="8" applyNumberFormat="1" applyFill="1" applyBorder="1"/>
    <xf numFmtId="0" fontId="5" fillId="0" borderId="0" xfId="8" applyFont="1" applyFill="1" applyBorder="1"/>
    <xf numFmtId="0" fontId="20" fillId="3" borderId="0" xfId="7" applyFont="1" applyFill="1"/>
    <xf numFmtId="0" fontId="5" fillId="3" borderId="0" xfId="7" applyFont="1" applyFill="1"/>
    <xf numFmtId="170" fontId="14" fillId="3" borderId="0" xfId="7" applyNumberFormat="1" applyFont="1" applyFill="1"/>
    <xf numFmtId="0" fontId="21" fillId="3" borderId="0" xfId="7" applyFont="1" applyFill="1"/>
    <xf numFmtId="0" fontId="1" fillId="0" borderId="8" xfId="7" applyFont="1" applyBorder="1"/>
    <xf numFmtId="0" fontId="1" fillId="0" borderId="9" xfId="7" applyFont="1" applyBorder="1"/>
    <xf numFmtId="0" fontId="1" fillId="0" borderId="10" xfId="7" applyFont="1" applyBorder="1"/>
    <xf numFmtId="0" fontId="22" fillId="4" borderId="0" xfId="5" applyFont="1" applyFill="1" applyAlignment="1">
      <alignment vertical="center"/>
    </xf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23" fillId="0" borderId="0" xfId="4" applyFont="1" applyAlignment="1">
      <alignment horizontal="right"/>
    </xf>
    <xf numFmtId="9" fontId="24" fillId="0" borderId="0" xfId="2" applyFont="1" applyBorder="1" applyAlignment="1">
      <alignment horizontal="right"/>
    </xf>
    <xf numFmtId="9" fontId="24" fillId="0" borderId="0" xfId="2" applyFont="1" applyAlignment="1">
      <alignment horizontal="right"/>
    </xf>
    <xf numFmtId="168" fontId="24" fillId="0" borderId="0" xfId="1" applyNumberFormat="1" applyFont="1" applyAlignment="1">
      <alignment horizontal="right"/>
    </xf>
    <xf numFmtId="14" fontId="24" fillId="0" borderId="0" xfId="1" applyNumberFormat="1" applyFont="1"/>
    <xf numFmtId="14" fontId="24" fillId="0" borderId="0" xfId="1" applyNumberFormat="1" applyFont="1" applyFill="1"/>
    <xf numFmtId="164" fontId="24" fillId="0" borderId="0" xfId="1" applyFont="1" applyAlignment="1">
      <alignment horizontal="right"/>
    </xf>
    <xf numFmtId="166" fontId="24" fillId="0" borderId="0" xfId="1" applyNumberFormat="1" applyFont="1" applyAlignment="1">
      <alignment horizontal="right"/>
    </xf>
    <xf numFmtId="165" fontId="24" fillId="0" borderId="0" xfId="1" applyNumberFormat="1" applyFont="1"/>
    <xf numFmtId="14" fontId="26" fillId="0" borderId="0" xfId="1" applyNumberFormat="1" applyFont="1" applyBorder="1"/>
    <xf numFmtId="165" fontId="27" fillId="0" borderId="0" xfId="1" applyNumberFormat="1" applyFont="1" applyBorder="1"/>
    <xf numFmtId="1" fontId="26" fillId="0" borderId="0" xfId="1" applyNumberFormat="1" applyFont="1"/>
    <xf numFmtId="167" fontId="27" fillId="0" borderId="0" xfId="1" applyNumberFormat="1" applyFont="1"/>
    <xf numFmtId="164" fontId="26" fillId="0" borderId="0" xfId="1" applyFont="1" applyBorder="1"/>
    <xf numFmtId="165" fontId="27" fillId="0" borderId="1" xfId="1" applyNumberFormat="1" applyFont="1" applyBorder="1"/>
    <xf numFmtId="165" fontId="24" fillId="0" borderId="0" xfId="1" applyNumberFormat="1" applyFont="1" applyBorder="1"/>
    <xf numFmtId="167" fontId="24" fillId="0" borderId="0" xfId="1" applyNumberFormat="1" applyFont="1"/>
    <xf numFmtId="165" fontId="27" fillId="0" borderId="0" xfId="1" applyNumberFormat="1" applyFont="1"/>
    <xf numFmtId="165" fontId="27" fillId="0" borderId="0" xfId="1" applyNumberFormat="1" applyFont="1" applyFill="1"/>
    <xf numFmtId="165" fontId="24" fillId="0" borderId="1" xfId="1" applyNumberFormat="1" applyFont="1" applyBorder="1"/>
    <xf numFmtId="9" fontId="27" fillId="0" borderId="0" xfId="2" applyFont="1" applyBorder="1"/>
    <xf numFmtId="9" fontId="27" fillId="0" borderId="0" xfId="2" applyFont="1"/>
    <xf numFmtId="169" fontId="27" fillId="0" borderId="0" xfId="1" applyNumberFormat="1" applyFont="1"/>
    <xf numFmtId="165" fontId="8" fillId="0" borderId="11" xfId="1" applyNumberFormat="1" applyFont="1" applyFill="1" applyBorder="1"/>
    <xf numFmtId="165" fontId="7" fillId="0" borderId="11" xfId="1" applyNumberFormat="1" applyFont="1" applyFill="1" applyBorder="1"/>
    <xf numFmtId="165" fontId="6" fillId="0" borderId="0" xfId="1" applyNumberFormat="1" applyFont="1" applyFill="1" applyBorder="1"/>
    <xf numFmtId="165" fontId="5" fillId="0" borderId="0" xfId="1" applyNumberFormat="1" applyFont="1" applyFill="1" applyBorder="1"/>
    <xf numFmtId="165" fontId="6" fillId="0" borderId="11" xfId="1" applyNumberFormat="1" applyFont="1" applyFill="1" applyBorder="1"/>
    <xf numFmtId="165" fontId="5" fillId="0" borderId="11" xfId="1" applyNumberFormat="1" applyFont="1" applyFill="1" applyBorder="1"/>
    <xf numFmtId="167" fontId="27" fillId="0" borderId="0" xfId="1" applyNumberFormat="1" applyFont="1" applyBorder="1"/>
    <xf numFmtId="165" fontId="27" fillId="0" borderId="12" xfId="1" applyNumberFormat="1" applyFont="1" applyBorder="1"/>
    <xf numFmtId="14" fontId="26" fillId="0" borderId="0" xfId="1" applyNumberFormat="1" applyFont="1" applyFill="1" applyBorder="1"/>
    <xf numFmtId="0" fontId="25" fillId="0" borderId="13" xfId="1" applyNumberFormat="1" applyFont="1" applyFill="1" applyBorder="1"/>
    <xf numFmtId="165" fontId="6" fillId="0" borderId="13" xfId="1" applyNumberFormat="1" applyFont="1" applyFill="1" applyBorder="1" applyAlignment="1">
      <alignment horizontal="right"/>
    </xf>
    <xf numFmtId="165" fontId="6" fillId="0" borderId="11" xfId="1" applyNumberFormat="1" applyFont="1" applyFill="1" applyBorder="1" applyAlignment="1">
      <alignment horizontal="right"/>
    </xf>
    <xf numFmtId="165" fontId="5" fillId="0" borderId="0" xfId="1" applyNumberFormat="1" applyFont="1" applyBorder="1" applyAlignment="1">
      <alignment horizontal="center"/>
    </xf>
    <xf numFmtId="0" fontId="10" fillId="0" borderId="0" xfId="0" applyFont="1" applyAlignment="1">
      <alignment horizontal="right"/>
    </xf>
    <xf numFmtId="165" fontId="5" fillId="0" borderId="11" xfId="1" applyNumberFormat="1" applyFont="1" applyFill="1" applyBorder="1" applyAlignment="1">
      <alignment horizontal="center"/>
    </xf>
  </cellXfs>
  <cellStyles count="9">
    <cellStyle name="Comma" xfId="1" builtinId="3"/>
    <cellStyle name="Hyperlink" xfId="4" builtinId="8"/>
    <cellStyle name="Hyperlink 2" xfId="6" xr:uid="{00000000-0005-0000-0000-000002000000}"/>
    <cellStyle name="Hyperlink 2 2" xfId="8" xr:uid="{A15ECA47-CB26-40AD-B182-7EFA407583D9}"/>
    <cellStyle name="Hyperlink 3" xfId="3" xr:uid="{00000000-0005-0000-0000-000003000000}"/>
    <cellStyle name="Normal" xfId="0" builtinId="0"/>
    <cellStyle name="Normal 2" xfId="5" xr:uid="{00000000-0005-0000-0000-000005000000}"/>
    <cellStyle name="Normal 2 2 2" xfId="7" xr:uid="{65687AD3-88B9-461F-8736-3AEEF1815662}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200" b="1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D9E5F7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'DCF Model'!$E$19:$I$19</c:f>
              <c:numCache>
                <c:formatCode>m/d/yyyy</c:formatCode>
                <c:ptCount val="5"/>
                <c:pt idx="0">
                  <c:v>43281</c:v>
                </c:pt>
                <c:pt idx="1">
                  <c:v>43646</c:v>
                </c:pt>
                <c:pt idx="2">
                  <c:v>44012</c:v>
                </c:pt>
                <c:pt idx="3">
                  <c:v>44377</c:v>
                </c:pt>
                <c:pt idx="4">
                  <c:v>44742</c:v>
                </c:pt>
              </c:numCache>
            </c:numRef>
          </c:cat>
          <c:val>
            <c:numRef>
              <c:f>'DCF Model'!$E$29:$I$29</c:f>
              <c:numCache>
                <c:formatCode>_-* #,##0_-;\(#,##0\)_-;_-* "-"_-;_-@_-</c:formatCode>
                <c:ptCount val="5"/>
                <c:pt idx="0">
                  <c:v>17747.131000000001</c:v>
                </c:pt>
                <c:pt idx="1">
                  <c:v>37715.192064999996</c:v>
                </c:pt>
                <c:pt idx="2">
                  <c:v>41501.07372819999</c:v>
                </c:pt>
                <c:pt idx="3">
                  <c:v>43510.461665686991</c:v>
                </c:pt>
                <c:pt idx="4">
                  <c:v>47008.029943582238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A-4754-B867-94CF948CE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542849320"/>
        <c:axId val="542849648"/>
      </c:barChart>
      <c:dateAx>
        <c:axId val="54284932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42849648"/>
        <c:crosses val="autoZero"/>
        <c:auto val="1"/>
        <c:lblOffset val="100"/>
        <c:baseTimeUnit val="years"/>
        <c:majorUnit val="1"/>
        <c:majorTimeUnit val="years"/>
        <c:minorUnit val="1"/>
        <c:minorTimeUnit val="years"/>
      </c:dateAx>
      <c:valAx>
        <c:axId val="542849648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4284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2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rPr>
              <a:t>Market Value vs Intrinsic Value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cx:rich>
      </cx:tx>
    </cx:title>
    <cx:plotArea>
      <cx:plotAreaRegion>
        <cx:plotSurface>
          <cx:spPr>
            <a:noFill/>
            <a:ln>
              <a:noFill/>
            </a:ln>
          </cx:spPr>
        </cx:plotSurface>
        <cx:series layoutId="waterfall" uniqueId="{8DE9D384-90CA-46AD-9838-15A56339DF8B}" formatIdx="1">
          <cx:spPr>
            <a:solidFill>
              <a:srgbClr val="D9E5F7"/>
            </a:solidFill>
          </cx:spPr>
          <cx:dataLabels pos="outEnd">
            <cx:numFmt formatCode="$#,##0.0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2"/>
                    </a:solidFill>
                  </a:defRPr>
                </a:pPr>
                <a:endParaRPr lang="en-US" sz="900" b="0" i="0" u="none" strike="noStrike" baseline="0">
                  <a:solidFill>
                    <a:schemeClr val="bg2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2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  <cx:numFmt formatCode="$#,##0.0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acabacus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orporatefinanceinstitute.com" TargetMode="Externa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hyperlink" Target="http://www.macabacus.com" TargetMode="Externa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1</xdr:row>
      <xdr:rowOff>222595</xdr:rowOff>
    </xdr:from>
    <xdr:to>
      <xdr:col>5</xdr:col>
      <xdr:colOff>1727</xdr:colOff>
      <xdr:row>6</xdr:row>
      <xdr:rowOff>230913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5907C5-FA61-4596-8F2F-822D97528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65" y="470245"/>
          <a:ext cx="4301312" cy="1246568"/>
        </a:xfrm>
        <a:prstGeom prst="rect">
          <a:avLst/>
        </a:prstGeom>
      </xdr:spPr>
    </xdr:pic>
    <xdr:clientData/>
  </xdr:twoCellAnchor>
  <xdr:twoCellAnchor editAs="oneCell">
    <xdr:from>
      <xdr:col>10</xdr:col>
      <xdr:colOff>678180</xdr:colOff>
      <xdr:row>3</xdr:row>
      <xdr:rowOff>102870</xdr:rowOff>
    </xdr:from>
    <xdr:to>
      <xdr:col>11</xdr:col>
      <xdr:colOff>2561487</xdr:colOff>
      <xdr:row>6</xdr:row>
      <xdr:rowOff>87630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F18DC9-BA26-439F-9EAA-9D2B50F95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6855" y="845820"/>
          <a:ext cx="2629432" cy="727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714376</xdr:colOff>
      <xdr:row>4</xdr:row>
      <xdr:rowOff>28575</xdr:rowOff>
    </xdr:from>
    <xdr:to>
      <xdr:col>9</xdr:col>
      <xdr:colOff>771525</xdr:colOff>
      <xdr:row>15</xdr:row>
      <xdr:rowOff>51063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1E59A-1A30-40A8-B4F9-0770A24C3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257174</xdr:colOff>
      <xdr:row>4</xdr:row>
      <xdr:rowOff>47626</xdr:rowOff>
    </xdr:from>
    <xdr:to>
      <xdr:col>13</xdr:col>
      <xdr:colOff>781049</xdr:colOff>
      <xdr:row>15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279C28A-B758-47E1-9CB3-ABF566CBF1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31504" y="1392556"/>
              <a:ext cx="3244215" cy="22136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99060</xdr:colOff>
      <xdr:row>0</xdr:row>
      <xdr:rowOff>0</xdr:rowOff>
    </xdr:from>
    <xdr:to>
      <xdr:col>4</xdr:col>
      <xdr:colOff>161112</xdr:colOff>
      <xdr:row>1</xdr:row>
      <xdr:rowOff>53458</xdr:rowOff>
    </xdr:to>
    <xdr:pic>
      <xdr:nvPicPr>
        <xdr:cNvPr id="7" name="Pictur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BE3259-FD52-4CA3-9A18-4D45E275A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" y="0"/>
          <a:ext cx="2608402" cy="751958"/>
        </a:xfrm>
        <a:prstGeom prst="rect">
          <a:avLst/>
        </a:prstGeom>
      </xdr:spPr>
    </xdr:pic>
    <xdr:clientData/>
  </xdr:twoCellAnchor>
  <xdr:twoCellAnchor editAs="oneCell">
    <xdr:from>
      <xdr:col>11</xdr:col>
      <xdr:colOff>671514</xdr:colOff>
      <xdr:row>0</xdr:row>
      <xdr:rowOff>118643</xdr:rowOff>
    </xdr:from>
    <xdr:to>
      <xdr:col>13</xdr:col>
      <xdr:colOff>573877</xdr:colOff>
      <xdr:row>0</xdr:row>
      <xdr:rowOff>581315</xdr:rowOff>
    </xdr:to>
    <xdr:pic>
      <xdr:nvPicPr>
        <xdr:cNvPr id="8" name="Pictur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0298349-91E0-4B94-B456-2E9A9E0F4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9584" y="118643"/>
          <a:ext cx="1651398" cy="462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C3DD-53EE-457E-906C-677EF8C9E335}">
  <sheetPr>
    <pageSetUpPr fitToPage="1"/>
  </sheetPr>
  <dimension ref="A1:M40"/>
  <sheetViews>
    <sheetView showGridLines="0" tabSelected="1" zoomScale="70" zoomScaleNormal="70" workbookViewId="0"/>
  </sheetViews>
  <sheetFormatPr defaultRowHeight="14.4" x14ac:dyDescent="0.55000000000000004"/>
  <cols>
    <col min="1" max="1" width="4.68359375" customWidth="1"/>
    <col min="2" max="2" width="4.7890625" customWidth="1"/>
    <col min="3" max="3" width="36.68359375" customWidth="1"/>
    <col min="4" max="11" width="10.68359375" customWidth="1"/>
    <col min="12" max="12" width="36.68359375" customWidth="1"/>
    <col min="13" max="13" width="4.7890625" customWidth="1"/>
  </cols>
  <sheetData>
    <row r="1" spans="1:13" ht="19.5" customHeight="1" thickBot="1" x14ac:dyDescent="0.8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9.5" customHeight="1" thickTop="1" x14ac:dyDescent="0.75">
      <c r="A2" s="18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</row>
    <row r="3" spans="1:13" ht="19.5" customHeight="1" x14ac:dyDescent="0.75">
      <c r="A3" s="18"/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</row>
    <row r="4" spans="1:13" ht="19.5" customHeight="1" x14ac:dyDescent="0.75">
      <c r="A4" s="18"/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4"/>
    </row>
    <row r="5" spans="1:13" ht="19.5" customHeight="1" x14ac:dyDescent="0.75">
      <c r="A5" s="18"/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4"/>
    </row>
    <row r="6" spans="1:13" ht="19.5" customHeight="1" x14ac:dyDescent="0.75">
      <c r="A6" s="18"/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4"/>
    </row>
    <row r="7" spans="1:13" ht="19.5" customHeight="1" x14ac:dyDescent="0.75">
      <c r="A7" s="18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</row>
    <row r="8" spans="1:13" ht="19.5" customHeight="1" x14ac:dyDescent="0.75">
      <c r="A8" s="18"/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4"/>
    </row>
    <row r="9" spans="1:13" ht="19.5" customHeight="1" x14ac:dyDescent="0.75">
      <c r="A9" s="18"/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4"/>
    </row>
    <row r="10" spans="1:13" ht="19.5" customHeight="1" x14ac:dyDescent="0.75">
      <c r="A10" s="18"/>
      <c r="B10" s="25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26"/>
    </row>
    <row r="11" spans="1:13" ht="28.5" customHeight="1" x14ac:dyDescent="1.3">
      <c r="A11" s="18"/>
      <c r="B11" s="25"/>
      <c r="C11" s="27" t="s">
        <v>3</v>
      </c>
      <c r="D11" s="18"/>
      <c r="E11" s="18"/>
      <c r="F11" s="18"/>
      <c r="G11" s="18"/>
      <c r="H11" s="18"/>
      <c r="I11" s="18"/>
      <c r="J11" s="18"/>
      <c r="K11" s="18"/>
      <c r="L11" s="28" t="s">
        <v>50</v>
      </c>
      <c r="M11" s="26"/>
    </row>
    <row r="12" spans="1:13" ht="19.5" customHeight="1" x14ac:dyDescent="0.75">
      <c r="A12" s="18"/>
      <c r="B12" s="25"/>
      <c r="C12" s="29"/>
      <c r="D12" s="18"/>
      <c r="E12" s="18"/>
      <c r="F12" s="18"/>
      <c r="G12" s="18"/>
      <c r="H12" s="18"/>
      <c r="I12" s="18"/>
      <c r="J12" s="18"/>
      <c r="K12" s="30"/>
      <c r="L12" s="18"/>
      <c r="M12" s="26"/>
    </row>
    <row r="13" spans="1:13" ht="19.5" customHeight="1" x14ac:dyDescent="0.9">
      <c r="A13" s="18"/>
      <c r="B13" s="25"/>
      <c r="C13" s="31" t="s">
        <v>51</v>
      </c>
      <c r="D13" s="32"/>
      <c r="E13" s="32"/>
      <c r="F13" s="32"/>
      <c r="G13" s="32"/>
      <c r="H13" s="32"/>
      <c r="I13" s="32"/>
      <c r="J13" s="32"/>
      <c r="K13" s="32"/>
      <c r="L13" s="32"/>
      <c r="M13" s="26"/>
    </row>
    <row r="14" spans="1:13" ht="19.5" customHeight="1" x14ac:dyDescent="0.75">
      <c r="A14" s="18"/>
      <c r="B14" s="25"/>
      <c r="C14" s="18"/>
      <c r="D14" s="32"/>
      <c r="E14" s="32"/>
      <c r="F14" s="32"/>
      <c r="G14" s="32"/>
      <c r="H14" s="32"/>
      <c r="I14" s="32"/>
      <c r="J14" s="32"/>
      <c r="K14" s="32"/>
      <c r="L14" s="32"/>
      <c r="M14" s="26"/>
    </row>
    <row r="15" spans="1:13" ht="19.5" customHeight="1" x14ac:dyDescent="0.8">
      <c r="A15" s="18"/>
      <c r="B15" s="25"/>
      <c r="C15" s="33" t="s">
        <v>3</v>
      </c>
      <c r="D15" s="32"/>
      <c r="E15" s="32"/>
      <c r="F15" s="32"/>
      <c r="G15" s="32"/>
      <c r="H15" s="32"/>
      <c r="I15" s="32"/>
      <c r="J15" s="32"/>
      <c r="K15" s="32"/>
      <c r="L15" s="32"/>
      <c r="M15" s="26"/>
    </row>
    <row r="16" spans="1:13" ht="19.5" customHeight="1" x14ac:dyDescent="0.8">
      <c r="A16" s="18"/>
      <c r="B16" s="25"/>
      <c r="C16" s="34"/>
      <c r="D16" s="32"/>
      <c r="E16" s="32"/>
      <c r="F16" s="32"/>
      <c r="G16" s="32"/>
      <c r="H16" s="32"/>
      <c r="I16" s="32"/>
      <c r="J16" s="32"/>
      <c r="K16" s="32"/>
      <c r="L16" s="32"/>
      <c r="M16" s="26"/>
    </row>
    <row r="17" spans="1:13" ht="19.5" customHeight="1" x14ac:dyDescent="0.8">
      <c r="A17" s="18"/>
      <c r="B17" s="25"/>
      <c r="C17" s="34"/>
      <c r="D17" s="32"/>
      <c r="E17" s="32"/>
      <c r="F17" s="32"/>
      <c r="G17" s="32"/>
      <c r="H17" s="32"/>
      <c r="I17" s="32"/>
      <c r="J17" s="32"/>
      <c r="K17" s="32"/>
      <c r="L17" s="32"/>
      <c r="M17" s="26"/>
    </row>
    <row r="18" spans="1:13" ht="19.5" customHeight="1" x14ac:dyDescent="0.8">
      <c r="A18" s="18"/>
      <c r="B18" s="25"/>
      <c r="C18" s="34"/>
      <c r="D18" s="32"/>
      <c r="E18" s="32"/>
      <c r="F18" s="32"/>
      <c r="G18" s="32"/>
      <c r="H18" s="32"/>
      <c r="I18" s="32"/>
      <c r="J18" s="32"/>
      <c r="K18" s="32"/>
      <c r="L18" s="32"/>
      <c r="M18" s="26"/>
    </row>
    <row r="19" spans="1:13" ht="19.5" customHeight="1" x14ac:dyDescent="0.8">
      <c r="A19" s="18"/>
      <c r="B19" s="25"/>
      <c r="C19" s="34"/>
      <c r="D19" s="32"/>
      <c r="E19" s="32"/>
      <c r="F19" s="32"/>
      <c r="G19" s="32"/>
      <c r="H19" s="32"/>
      <c r="I19" s="32"/>
      <c r="J19" s="32"/>
      <c r="K19" s="32"/>
      <c r="L19" s="32"/>
      <c r="M19" s="26"/>
    </row>
    <row r="20" spans="1:13" ht="19.5" customHeight="1" x14ac:dyDescent="0.8">
      <c r="A20" s="18"/>
      <c r="B20" s="25"/>
      <c r="C20" s="34"/>
      <c r="D20" s="32"/>
      <c r="E20" s="32"/>
      <c r="F20" s="32"/>
      <c r="G20" s="32"/>
      <c r="H20" s="32"/>
      <c r="I20" s="32"/>
      <c r="J20" s="32"/>
      <c r="K20" s="32"/>
      <c r="L20" s="32"/>
      <c r="M20" s="26"/>
    </row>
    <row r="21" spans="1:13" ht="19.5" customHeight="1" x14ac:dyDescent="0.75">
      <c r="A21" s="18"/>
      <c r="B21" s="25"/>
      <c r="C21" s="35"/>
      <c r="D21" s="32"/>
      <c r="E21" s="32"/>
      <c r="F21" s="32"/>
      <c r="G21" s="32"/>
      <c r="H21" s="32"/>
      <c r="I21" s="32"/>
      <c r="J21" s="32"/>
      <c r="K21" s="32"/>
      <c r="L21" s="32"/>
      <c r="M21" s="26"/>
    </row>
    <row r="22" spans="1:13" ht="19.5" customHeight="1" x14ac:dyDescent="0.75">
      <c r="A22" s="18"/>
      <c r="B22" s="25"/>
      <c r="C22" s="35"/>
      <c r="D22" s="32"/>
      <c r="E22" s="32"/>
      <c r="F22" s="32"/>
      <c r="G22" s="32"/>
      <c r="H22" s="32"/>
      <c r="I22" s="32"/>
      <c r="J22" s="32"/>
      <c r="K22" s="32"/>
      <c r="L22" s="32"/>
      <c r="M22" s="26"/>
    </row>
    <row r="23" spans="1:13" ht="19.5" customHeight="1" x14ac:dyDescent="0.75">
      <c r="A23" s="18"/>
      <c r="B23" s="25"/>
      <c r="C23" s="35"/>
      <c r="D23" s="32"/>
      <c r="E23" s="32"/>
      <c r="F23" s="32"/>
      <c r="G23" s="32"/>
      <c r="H23" s="32"/>
      <c r="I23" s="32"/>
      <c r="J23" s="32"/>
      <c r="K23" s="32"/>
      <c r="L23" s="32"/>
      <c r="M23" s="26"/>
    </row>
    <row r="24" spans="1:13" ht="19.5" customHeight="1" x14ac:dyDescent="0.75">
      <c r="A24" s="18"/>
      <c r="B24" s="25"/>
      <c r="C24" s="35"/>
      <c r="D24" s="32"/>
      <c r="E24" s="32"/>
      <c r="F24" s="32"/>
      <c r="G24" s="32"/>
      <c r="H24" s="32"/>
      <c r="I24" s="32"/>
      <c r="J24" s="32"/>
      <c r="K24" s="32"/>
      <c r="L24" s="32"/>
      <c r="M24" s="26"/>
    </row>
    <row r="25" spans="1:13" ht="19.5" customHeight="1" x14ac:dyDescent="0.75">
      <c r="A25" s="18"/>
      <c r="B25" s="25"/>
      <c r="C25" s="35"/>
      <c r="D25" s="32"/>
      <c r="E25" s="32"/>
      <c r="F25" s="32"/>
      <c r="G25" s="32"/>
      <c r="H25" s="32"/>
      <c r="I25" s="32"/>
      <c r="J25" s="32"/>
      <c r="K25" s="32"/>
      <c r="L25" s="32"/>
      <c r="M25" s="26"/>
    </row>
    <row r="26" spans="1:13" ht="19.5" customHeight="1" x14ac:dyDescent="0.8">
      <c r="A26" s="18"/>
      <c r="B26" s="25"/>
      <c r="C26" s="36"/>
      <c r="D26" s="32"/>
      <c r="E26" s="32"/>
      <c r="F26" s="32"/>
      <c r="G26" s="32"/>
      <c r="H26" s="32"/>
      <c r="I26" s="32"/>
      <c r="J26" s="32"/>
      <c r="K26" s="32"/>
      <c r="L26" s="32"/>
      <c r="M26" s="26"/>
    </row>
    <row r="27" spans="1:13" ht="19.5" customHeight="1" x14ac:dyDescent="0.8">
      <c r="A27" s="18"/>
      <c r="B27" s="25"/>
      <c r="C27" s="36"/>
      <c r="D27" s="32"/>
      <c r="E27" s="32"/>
      <c r="F27" s="32"/>
      <c r="G27" s="32"/>
      <c r="H27" s="32"/>
      <c r="I27" s="32"/>
      <c r="J27" s="32"/>
      <c r="K27" s="32"/>
      <c r="L27" s="32"/>
      <c r="M27" s="26"/>
    </row>
    <row r="28" spans="1:13" ht="19.5" customHeight="1" x14ac:dyDescent="0.75">
      <c r="A28" s="18"/>
      <c r="B28" s="25"/>
      <c r="C28" s="37"/>
      <c r="D28" s="32"/>
      <c r="E28" s="32"/>
      <c r="F28" s="32"/>
      <c r="G28" s="32"/>
      <c r="H28" s="32"/>
      <c r="I28" s="32"/>
      <c r="J28" s="32"/>
      <c r="K28" s="32"/>
      <c r="L28" s="32"/>
      <c r="M28" s="26"/>
    </row>
    <row r="29" spans="1:13" ht="19.5" customHeight="1" x14ac:dyDescent="0.75">
      <c r="A29" s="18"/>
      <c r="B29" s="25"/>
      <c r="C29" s="38"/>
      <c r="D29" s="32"/>
      <c r="E29" s="32"/>
      <c r="F29" s="32"/>
      <c r="G29" s="32"/>
      <c r="H29" s="32"/>
      <c r="I29" s="32"/>
      <c r="J29" s="32"/>
      <c r="K29" s="32"/>
      <c r="L29" s="32"/>
      <c r="M29" s="26"/>
    </row>
    <row r="30" spans="1:13" ht="19.5" customHeight="1" x14ac:dyDescent="0.75">
      <c r="A30" s="18"/>
      <c r="B30" s="25"/>
      <c r="C30" s="38"/>
      <c r="D30" s="32"/>
      <c r="E30" s="32"/>
      <c r="F30" s="32"/>
      <c r="G30" s="32"/>
      <c r="H30" s="32"/>
      <c r="I30" s="32"/>
      <c r="J30" s="32"/>
      <c r="K30" s="32"/>
      <c r="L30" s="32"/>
      <c r="M30" s="26"/>
    </row>
    <row r="31" spans="1:13" ht="19.5" customHeight="1" x14ac:dyDescent="0.8">
      <c r="A31" s="18"/>
      <c r="B31" s="25"/>
      <c r="C31" s="39" t="s">
        <v>61</v>
      </c>
      <c r="D31" s="40"/>
      <c r="E31" s="40"/>
      <c r="F31" s="40"/>
      <c r="G31" s="40"/>
      <c r="H31" s="40"/>
      <c r="I31" s="40"/>
      <c r="J31" s="40"/>
      <c r="K31" s="40"/>
      <c r="L31" s="40"/>
      <c r="M31" s="26"/>
    </row>
    <row r="32" spans="1:13" ht="19.5" customHeight="1" x14ac:dyDescent="0.75">
      <c r="A32" s="18"/>
      <c r="B32" s="25"/>
      <c r="C32" s="41" t="s">
        <v>55</v>
      </c>
      <c r="D32" s="42"/>
      <c r="E32" s="42"/>
      <c r="F32" s="42"/>
      <c r="G32" s="42"/>
      <c r="H32" s="42"/>
      <c r="I32" s="42"/>
      <c r="J32" s="42"/>
      <c r="K32" s="42"/>
      <c r="L32" s="42"/>
      <c r="M32" s="26"/>
    </row>
    <row r="33" spans="1:13" ht="19.5" customHeight="1" x14ac:dyDescent="0.75">
      <c r="A33" s="18"/>
      <c r="B33" s="25"/>
      <c r="C33" s="41" t="s">
        <v>56</v>
      </c>
      <c r="D33" s="42"/>
      <c r="E33" s="42"/>
      <c r="F33" s="42"/>
      <c r="G33" s="42"/>
      <c r="H33" s="42"/>
      <c r="I33" s="42"/>
      <c r="J33" s="42"/>
      <c r="K33" s="42"/>
      <c r="L33" s="42"/>
      <c r="M33" s="26"/>
    </row>
    <row r="34" spans="1:13" ht="19.5" customHeight="1" x14ac:dyDescent="0.75">
      <c r="A34" s="18"/>
      <c r="B34" s="25"/>
      <c r="C34" s="41" t="s">
        <v>57</v>
      </c>
      <c r="D34" s="42"/>
      <c r="E34" s="42"/>
      <c r="F34" s="42"/>
      <c r="G34" s="42"/>
      <c r="H34" s="42"/>
      <c r="I34" s="42"/>
      <c r="J34" s="42"/>
      <c r="K34" s="42"/>
      <c r="L34" s="42"/>
      <c r="M34" s="26"/>
    </row>
    <row r="35" spans="1:13" ht="19.5" customHeight="1" x14ac:dyDescent="0.75">
      <c r="A35" s="18"/>
      <c r="B35" s="25"/>
      <c r="C35" s="41" t="s">
        <v>58</v>
      </c>
      <c r="D35" s="42"/>
      <c r="E35" s="42"/>
      <c r="F35" s="42"/>
      <c r="G35" s="42"/>
      <c r="H35" s="42"/>
      <c r="I35" s="42"/>
      <c r="J35" s="42"/>
      <c r="K35" s="42"/>
      <c r="L35" s="42"/>
      <c r="M35" s="26"/>
    </row>
    <row r="36" spans="1:13" ht="19.5" customHeight="1" x14ac:dyDescent="0.75">
      <c r="A36" s="18"/>
      <c r="B36" s="25"/>
      <c r="C36" s="41" t="s">
        <v>59</v>
      </c>
      <c r="D36" s="42"/>
      <c r="E36" s="42"/>
      <c r="F36" s="42"/>
      <c r="G36" s="42"/>
      <c r="H36" s="42"/>
      <c r="I36" s="42"/>
      <c r="J36" s="42"/>
      <c r="K36" s="42"/>
      <c r="L36" s="42"/>
      <c r="M36" s="26"/>
    </row>
    <row r="37" spans="1:13" ht="19.5" customHeight="1" x14ac:dyDescent="0.75">
      <c r="A37" s="18"/>
      <c r="B37" s="25"/>
      <c r="C37" s="41"/>
      <c r="D37" s="42"/>
      <c r="E37" s="42"/>
      <c r="F37" s="42"/>
      <c r="G37" s="42"/>
      <c r="H37" s="42"/>
      <c r="I37" s="42"/>
      <c r="J37" s="42"/>
      <c r="K37" s="42"/>
      <c r="L37" s="42"/>
      <c r="M37" s="26"/>
    </row>
    <row r="38" spans="1:13" ht="19.5" customHeight="1" x14ac:dyDescent="0.75">
      <c r="A38" s="18"/>
      <c r="B38" s="25"/>
      <c r="C38" s="41" t="s">
        <v>39</v>
      </c>
      <c r="D38" s="42"/>
      <c r="E38" s="42"/>
      <c r="F38" s="42"/>
      <c r="G38" s="42"/>
      <c r="H38" s="42"/>
      <c r="I38" s="42"/>
      <c r="J38" s="42"/>
      <c r="K38" s="42"/>
      <c r="L38" s="42"/>
      <c r="M38" s="26"/>
    </row>
    <row r="39" spans="1:13" ht="19.5" customHeight="1" thickBot="1" x14ac:dyDescent="0.8">
      <c r="A39" s="18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5" t="s">
        <v>60</v>
      </c>
    </row>
    <row r="40" spans="1:13" ht="19.5" customHeight="1" thickTop="1" x14ac:dyDescent="0.7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</sheetData>
  <hyperlinks>
    <hyperlink ref="C38" r:id="rId1" xr:uid="{7570D235-0154-4864-A0F4-D177526157E5}"/>
    <hyperlink ref="C15" location="'DCF Model'!A1" tooltip="DCF Model" display="DCF Model" xr:uid="{75921352-598F-4990-964D-713A5C3E70C0}"/>
  </hyperlinks>
  <pageMargins left="0.7" right="0.7" top="0.75" bottom="0.75" header="0.3" footer="0.3"/>
  <pageSetup scale="66" orientation="landscape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50"/>
  <sheetViews>
    <sheetView showGridLines="0" zoomScale="93" zoomScaleNormal="100" workbookViewId="0">
      <selection activeCell="J48" sqref="J48"/>
    </sheetView>
  </sheetViews>
  <sheetFormatPr defaultColWidth="9.1015625" defaultRowHeight="15.55" customHeight="1" x14ac:dyDescent="0.65"/>
  <cols>
    <col min="1" max="1" width="3.5234375" style="4" customWidth="1"/>
    <col min="2" max="2" width="12.62890625" style="4" customWidth="1"/>
    <col min="3" max="3" width="12.47265625" style="4" customWidth="1"/>
    <col min="4" max="4" width="11.3671875" style="6" customWidth="1"/>
    <col min="5" max="9" width="11.5234375" style="4" customWidth="1"/>
    <col min="10" max="14" width="12.5234375" style="4" customWidth="1"/>
    <col min="15" max="16384" width="9.1015625" style="4"/>
  </cols>
  <sheetData>
    <row r="1" spans="2:14" s="47" customFormat="1" ht="55" customHeight="1" x14ac:dyDescent="0.8"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</row>
    <row r="3" spans="2:14" s="47" customFormat="1" ht="20.399999999999999" x14ac:dyDescent="0.75">
      <c r="B3" s="46" t="s">
        <v>3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2:14" ht="15.55" customHeight="1" x14ac:dyDescent="0.65">
      <c r="B4" s="5"/>
      <c r="E4" s="7"/>
      <c r="F4" s="7"/>
      <c r="G4" s="7"/>
      <c r="H4" s="7"/>
      <c r="I4" s="7"/>
    </row>
    <row r="5" spans="2:14" ht="15.55" customHeight="1" thickBot="1" x14ac:dyDescent="0.7">
      <c r="B5" s="73" t="s">
        <v>2</v>
      </c>
      <c r="C5" s="74"/>
      <c r="D5" s="74"/>
      <c r="E5" s="7"/>
    </row>
    <row r="6" spans="2:14" ht="15.55" customHeight="1" x14ac:dyDescent="0.65">
      <c r="B6" s="14" t="s">
        <v>11</v>
      </c>
      <c r="C6" s="11"/>
      <c r="D6" s="51">
        <v>0.25</v>
      </c>
      <c r="E6" s="7"/>
    </row>
    <row r="7" spans="2:14" ht="15.55" customHeight="1" x14ac:dyDescent="0.65">
      <c r="B7" s="8" t="s">
        <v>12</v>
      </c>
      <c r="D7" s="52">
        <v>0.12</v>
      </c>
    </row>
    <row r="8" spans="2:14" ht="15.55" customHeight="1" x14ac:dyDescent="0.65">
      <c r="B8" s="4" t="s">
        <v>13</v>
      </c>
      <c r="D8" s="52">
        <v>0.03</v>
      </c>
    </row>
    <row r="9" spans="2:14" ht="15.55" customHeight="1" x14ac:dyDescent="0.65">
      <c r="B9" s="4" t="s">
        <v>14</v>
      </c>
      <c r="D9" s="53">
        <v>7</v>
      </c>
    </row>
    <row r="10" spans="2:14" ht="15.55" customHeight="1" x14ac:dyDescent="0.65">
      <c r="B10" s="4" t="s">
        <v>19</v>
      </c>
      <c r="D10" s="54">
        <v>43100</v>
      </c>
    </row>
    <row r="11" spans="2:14" ht="15.55" customHeight="1" x14ac:dyDescent="0.65">
      <c r="B11" s="4" t="s">
        <v>41</v>
      </c>
      <c r="D11" s="55">
        <v>43281</v>
      </c>
    </row>
    <row r="12" spans="2:14" ht="15.55" customHeight="1" x14ac:dyDescent="0.65">
      <c r="B12" s="4" t="s">
        <v>25</v>
      </c>
      <c r="D12" s="56">
        <v>25</v>
      </c>
    </row>
    <row r="13" spans="2:14" ht="15.55" customHeight="1" x14ac:dyDescent="0.65">
      <c r="B13" s="4" t="s">
        <v>21</v>
      </c>
      <c r="D13" s="57">
        <v>20000</v>
      </c>
    </row>
    <row r="14" spans="2:14" ht="15.55" customHeight="1" x14ac:dyDescent="0.65">
      <c r="B14" s="4" t="s">
        <v>1</v>
      </c>
      <c r="D14" s="57">
        <v>30000</v>
      </c>
    </row>
    <row r="15" spans="2:14" ht="15.55" customHeight="1" x14ac:dyDescent="0.65">
      <c r="B15" s="4" t="s">
        <v>0</v>
      </c>
      <c r="D15" s="57">
        <v>239549.5203651849</v>
      </c>
    </row>
    <row r="16" spans="2:14" ht="15.55" customHeight="1" x14ac:dyDescent="0.65">
      <c r="B16" s="4" t="s">
        <v>38</v>
      </c>
      <c r="D16" s="58">
        <v>15000</v>
      </c>
    </row>
    <row r="17" spans="2:14" ht="15.55" customHeight="1" x14ac:dyDescent="0.65">
      <c r="D17" s="9"/>
      <c r="E17" s="10"/>
      <c r="F17" s="10"/>
      <c r="G17" s="10"/>
      <c r="H17" s="10"/>
      <c r="I17" s="10"/>
      <c r="J17" s="10"/>
    </row>
    <row r="18" spans="2:14" ht="15.55" customHeight="1" thickBot="1" x14ac:dyDescent="0.7">
      <c r="B18" s="75" t="s">
        <v>20</v>
      </c>
      <c r="C18" s="76"/>
      <c r="D18" s="84" t="s">
        <v>22</v>
      </c>
      <c r="E18" s="82">
        <f>YEAR(E19)</f>
        <v>2018</v>
      </c>
      <c r="F18" s="82">
        <f t="shared" ref="F18:I18" si="0">YEAR(F19)</f>
        <v>2019</v>
      </c>
      <c r="G18" s="82">
        <f t="shared" si="0"/>
        <v>2020</v>
      </c>
      <c r="H18" s="82">
        <f t="shared" si="0"/>
        <v>2021</v>
      </c>
      <c r="I18" s="82">
        <f t="shared" si="0"/>
        <v>2022</v>
      </c>
      <c r="J18" s="83" t="s">
        <v>23</v>
      </c>
      <c r="L18" s="77" t="s">
        <v>9</v>
      </c>
      <c r="M18" s="78"/>
      <c r="N18" s="78"/>
    </row>
    <row r="19" spans="2:14" ht="15.55" customHeight="1" x14ac:dyDescent="0.65">
      <c r="B19" s="10" t="s">
        <v>24</v>
      </c>
      <c r="C19" s="10"/>
      <c r="D19" s="59">
        <f>D10</f>
        <v>43100</v>
      </c>
      <c r="E19" s="81">
        <f>DATE(YEAR($D$11)+E20,6,30)</f>
        <v>43281</v>
      </c>
      <c r="F19" s="81">
        <f>DATE(YEAR($D$11)+F20,6,30)</f>
        <v>43646</v>
      </c>
      <c r="G19" s="81">
        <f>DATE(YEAR($D$11)+G20,6,30)</f>
        <v>44012</v>
      </c>
      <c r="H19" s="81">
        <f>DATE(YEAR($D$11)+H20,6,30)</f>
        <v>44377</v>
      </c>
      <c r="I19" s="81">
        <f>DATE(YEAR($D$11)+I20,6,30)</f>
        <v>44742</v>
      </c>
      <c r="J19" s="59">
        <f>I19</f>
        <v>44742</v>
      </c>
      <c r="L19" s="10" t="s">
        <v>10</v>
      </c>
      <c r="M19" s="10"/>
      <c r="N19" s="60">
        <f>(I27*(1+D8))/(D7-D8)</f>
        <v>537980.78713210789</v>
      </c>
    </row>
    <row r="20" spans="2:14" ht="15.55" customHeight="1" x14ac:dyDescent="0.65">
      <c r="B20" s="16" t="s">
        <v>44</v>
      </c>
      <c r="C20" s="16"/>
      <c r="D20" s="15"/>
      <c r="E20" s="61">
        <v>0</v>
      </c>
      <c r="F20" s="61">
        <f>E20+1</f>
        <v>1</v>
      </c>
      <c r="G20" s="61">
        <f>F20+1</f>
        <v>2</v>
      </c>
      <c r="H20" s="61">
        <f t="shared" ref="H20:I20" si="1">G20+1</f>
        <v>3</v>
      </c>
      <c r="I20" s="61">
        <f t="shared" si="1"/>
        <v>4</v>
      </c>
      <c r="J20" s="15"/>
      <c r="L20" s="4" t="s">
        <v>17</v>
      </c>
      <c r="N20" s="79">
        <f>D9*(I22+I24)</f>
        <v>546277.73326543428</v>
      </c>
    </row>
    <row r="21" spans="2:14" ht="15.55" customHeight="1" x14ac:dyDescent="0.65">
      <c r="B21" s="13" t="s">
        <v>43</v>
      </c>
      <c r="D21" s="4"/>
      <c r="E21" s="63">
        <f>YEARFRAC(D19,E19)</f>
        <v>0.5</v>
      </c>
      <c r="F21" s="63">
        <f>YEARFRAC(E19,F19)</f>
        <v>1</v>
      </c>
      <c r="G21" s="63">
        <f>YEARFRAC(F19,G19)</f>
        <v>1</v>
      </c>
      <c r="H21" s="63">
        <f>YEARFRAC(G19,H19)</f>
        <v>1</v>
      </c>
      <c r="I21" s="63">
        <f>YEARFRAC(H19,I19)</f>
        <v>1</v>
      </c>
      <c r="L21" s="4" t="s">
        <v>18</v>
      </c>
      <c r="N21" s="80">
        <f>AVERAGE(N19:N20)</f>
        <v>542129.26019877102</v>
      </c>
    </row>
    <row r="22" spans="2:14" ht="15.55" customHeight="1" x14ac:dyDescent="0.65">
      <c r="B22" s="4" t="s">
        <v>4</v>
      </c>
      <c r="D22" s="4"/>
      <c r="E22" s="65">
        <v>47814.456000000006</v>
      </c>
      <c r="F22" s="65">
        <v>51094.853419999992</v>
      </c>
      <c r="G22" s="65">
        <v>55861.390037599995</v>
      </c>
      <c r="H22" s="65">
        <v>58692.857260915989</v>
      </c>
      <c r="I22" s="65">
        <v>63038.584948776319</v>
      </c>
    </row>
    <row r="23" spans="2:14" ht="15.55" customHeight="1" x14ac:dyDescent="0.65">
      <c r="B23" s="4" t="s">
        <v>5</v>
      </c>
      <c r="D23" s="4"/>
      <c r="E23" s="62">
        <f>E22*$D$6</f>
        <v>11953.614000000001</v>
      </c>
      <c r="F23" s="62">
        <f>F22*$D$6</f>
        <v>12773.713354999998</v>
      </c>
      <c r="G23" s="62">
        <f>G22*$D$6</f>
        <v>13965.347509399999</v>
      </c>
      <c r="H23" s="62">
        <f>H22*$D$6</f>
        <v>14673.214315228997</v>
      </c>
      <c r="I23" s="62">
        <f>I22*$D$6</f>
        <v>15759.64623719408</v>
      </c>
    </row>
    <row r="24" spans="2:14" ht="15.55" customHeight="1" x14ac:dyDescent="0.65">
      <c r="B24" s="4" t="s">
        <v>8</v>
      </c>
      <c r="D24" s="4"/>
      <c r="E24" s="66">
        <v>15008.420000000002</v>
      </c>
      <c r="F24" s="66">
        <v>15005.052000000003</v>
      </c>
      <c r="G24" s="66">
        <v>15003.031200000001</v>
      </c>
      <c r="H24" s="66">
        <v>15001.818719999999</v>
      </c>
      <c r="I24" s="66">
        <v>15001.091232000001</v>
      </c>
    </row>
    <row r="25" spans="2:14" ht="15.55" customHeight="1" x14ac:dyDescent="0.65">
      <c r="B25" s="4" t="s">
        <v>6</v>
      </c>
      <c r="D25" s="4"/>
      <c r="E25" s="67">
        <f>$D$16</f>
        <v>15000</v>
      </c>
      <c r="F25" s="67">
        <f t="shared" ref="F25:I25" si="2">$D$16</f>
        <v>15000</v>
      </c>
      <c r="G25" s="67">
        <f t="shared" si="2"/>
        <v>15000</v>
      </c>
      <c r="H25" s="67">
        <f t="shared" si="2"/>
        <v>15000</v>
      </c>
      <c r="I25" s="67">
        <f t="shared" si="2"/>
        <v>15000</v>
      </c>
    </row>
    <row r="26" spans="2:14" ht="15.55" customHeight="1" x14ac:dyDescent="0.65">
      <c r="B26" s="4" t="s">
        <v>7</v>
      </c>
      <c r="D26" s="4"/>
      <c r="E26" s="58">
        <v>375</v>
      </c>
      <c r="F26" s="58">
        <v>611</v>
      </c>
      <c r="G26" s="58">
        <v>398</v>
      </c>
      <c r="H26" s="58">
        <v>511</v>
      </c>
      <c r="I26" s="58">
        <v>272</v>
      </c>
    </row>
    <row r="27" spans="2:14" ht="15.55" customHeight="1" x14ac:dyDescent="0.65">
      <c r="B27" s="4" t="s">
        <v>15</v>
      </c>
      <c r="D27" s="4"/>
      <c r="E27" s="64">
        <f>E22-E23+E24-E25-E26</f>
        <v>35494.262000000002</v>
      </c>
      <c r="F27" s="64">
        <f>F22-F23+F24-F25-F26</f>
        <v>37715.192064999996</v>
      </c>
      <c r="G27" s="64">
        <f>G22-G23+G24-G25-G26</f>
        <v>41501.07372819999</v>
      </c>
      <c r="H27" s="64">
        <f>H22-H23+H24-H25-H26</f>
        <v>43510.461665686991</v>
      </c>
      <c r="I27" s="64">
        <f>I22-I23+I24-I25-I26</f>
        <v>47008.029943582238</v>
      </c>
    </row>
    <row r="28" spans="2:14" ht="15.55" customHeight="1" x14ac:dyDescent="0.65">
      <c r="B28" s="4" t="s">
        <v>16</v>
      </c>
      <c r="D28" s="68">
        <f>-I36</f>
        <v>-290450.47963481513</v>
      </c>
      <c r="J28" s="68">
        <f>N21</f>
        <v>542129.26019877102</v>
      </c>
    </row>
    <row r="29" spans="2:14" ht="15.55" customHeight="1" x14ac:dyDescent="0.65">
      <c r="B29" s="4" t="s">
        <v>42</v>
      </c>
      <c r="D29" s="69">
        <v>0</v>
      </c>
      <c r="E29" s="64">
        <f>(E28+E27)*E21</f>
        <v>17747.131000000001</v>
      </c>
      <c r="F29" s="64">
        <f t="shared" ref="F29:I29" si="3">(F28+F27)*F21</f>
        <v>37715.192064999996</v>
      </c>
      <c r="G29" s="64">
        <f t="shared" si="3"/>
        <v>41501.07372819999</v>
      </c>
      <c r="H29" s="64">
        <f t="shared" si="3"/>
        <v>43510.461665686991</v>
      </c>
      <c r="I29" s="64">
        <f t="shared" si="3"/>
        <v>47008.029943582238</v>
      </c>
      <c r="J29" s="64">
        <f t="shared" ref="J29" si="4">J28+J27</f>
        <v>542129.26019877102</v>
      </c>
    </row>
    <row r="30" spans="2:14" ht="15.55" customHeight="1" x14ac:dyDescent="0.65">
      <c r="B30" s="4" t="s">
        <v>42</v>
      </c>
      <c r="D30" s="60">
        <f>D28+D27</f>
        <v>-290450.47963481513</v>
      </c>
      <c r="E30" s="60">
        <f>(E28+E27)*E21</f>
        <v>17747.131000000001</v>
      </c>
      <c r="F30" s="60">
        <f t="shared" ref="F30:I30" si="5">(F28+F27)*F21</f>
        <v>37715.192064999996</v>
      </c>
      <c r="G30" s="60">
        <f t="shared" si="5"/>
        <v>41501.07372819999</v>
      </c>
      <c r="H30" s="60">
        <f t="shared" si="5"/>
        <v>43510.461665686991</v>
      </c>
      <c r="I30" s="60">
        <f t="shared" si="5"/>
        <v>47008.029943582238</v>
      </c>
      <c r="J30" s="60">
        <f>J28</f>
        <v>542129.26019877102</v>
      </c>
    </row>
    <row r="32" spans="2:14" ht="15.55" customHeight="1" thickBot="1" x14ac:dyDescent="0.7">
      <c r="B32" s="77" t="s">
        <v>34</v>
      </c>
      <c r="C32" s="78"/>
      <c r="D32" s="78"/>
      <c r="G32" s="77" t="s">
        <v>35</v>
      </c>
      <c r="H32" s="78"/>
      <c r="I32" s="78"/>
      <c r="L32" s="77" t="s">
        <v>36</v>
      </c>
      <c r="M32" s="78"/>
      <c r="N32" s="78"/>
    </row>
    <row r="33" spans="2:14" ht="15.55" customHeight="1" x14ac:dyDescent="0.65">
      <c r="B33" s="10" t="s">
        <v>29</v>
      </c>
      <c r="C33" s="10"/>
      <c r="D33" s="60">
        <f>XNPV(D7,D29:J29,D19:J19)</f>
        <v>462982.97544626752</v>
      </c>
      <c r="G33" s="10" t="s">
        <v>26</v>
      </c>
      <c r="H33" s="10"/>
      <c r="I33" s="60">
        <f>D13*D12</f>
        <v>500000</v>
      </c>
      <c r="L33" s="10" t="s">
        <v>37</v>
      </c>
      <c r="M33" s="10"/>
      <c r="N33" s="70">
        <f>D38/I38-1</f>
        <v>0.34506499162290472</v>
      </c>
    </row>
    <row r="34" spans="2:14" ht="15.55" customHeight="1" x14ac:dyDescent="0.65">
      <c r="B34" s="4" t="s">
        <v>30</v>
      </c>
      <c r="D34" s="67">
        <f>+D15</f>
        <v>239549.5203651849</v>
      </c>
      <c r="G34" s="4" t="s">
        <v>27</v>
      </c>
      <c r="I34" s="67">
        <f>D14</f>
        <v>30000</v>
      </c>
      <c r="L34" s="4" t="s">
        <v>54</v>
      </c>
      <c r="N34" s="71">
        <f>XIRR(D30:J30,D19:J19)</f>
        <v>0.26347765326499939</v>
      </c>
    </row>
    <row r="35" spans="2:14" ht="15.55" customHeight="1" x14ac:dyDescent="0.65">
      <c r="B35" s="4" t="s">
        <v>31</v>
      </c>
      <c r="D35" s="67">
        <f>+D14</f>
        <v>30000</v>
      </c>
      <c r="G35" s="4" t="s">
        <v>28</v>
      </c>
      <c r="I35" s="67">
        <f>+D15</f>
        <v>239549.5203651849</v>
      </c>
    </row>
    <row r="36" spans="2:14" ht="15.55" customHeight="1" thickBot="1" x14ac:dyDescent="0.7">
      <c r="B36" s="4" t="s">
        <v>32</v>
      </c>
      <c r="D36" s="64">
        <f>D33+D34-D35</f>
        <v>672532.49581145239</v>
      </c>
      <c r="G36" s="4" t="s">
        <v>29</v>
      </c>
      <c r="I36" s="64">
        <f>I33+I34-I35</f>
        <v>290450.47963481513</v>
      </c>
      <c r="L36" s="77" t="s">
        <v>52</v>
      </c>
      <c r="M36" s="78"/>
      <c r="N36" s="78"/>
    </row>
    <row r="37" spans="2:14" ht="15.55" customHeight="1" x14ac:dyDescent="0.65">
      <c r="D37" s="4"/>
      <c r="I37" s="12"/>
      <c r="L37" s="4" t="s">
        <v>35</v>
      </c>
      <c r="N37" s="72">
        <f>I38</f>
        <v>25</v>
      </c>
    </row>
    <row r="38" spans="2:14" ht="15.55" customHeight="1" x14ac:dyDescent="0.65">
      <c r="B38" s="4" t="s">
        <v>33</v>
      </c>
      <c r="D38" s="72">
        <f>D36/D13</f>
        <v>33.62662479057262</v>
      </c>
      <c r="G38" s="4" t="s">
        <v>33</v>
      </c>
      <c r="I38" s="72">
        <f>D12</f>
        <v>25</v>
      </c>
      <c r="L38" s="4" t="s">
        <v>53</v>
      </c>
      <c r="N38" s="72">
        <f>D38-I38</f>
        <v>8.6266247905726203</v>
      </c>
    </row>
    <row r="39" spans="2:14" ht="15.55" customHeight="1" x14ac:dyDescent="0.65">
      <c r="D39" s="4"/>
      <c r="L39" s="4" t="s">
        <v>34</v>
      </c>
      <c r="N39" s="72">
        <f>SUM(N37:N38)</f>
        <v>33.62662479057262</v>
      </c>
    </row>
    <row r="40" spans="2:14" ht="15.55" customHeight="1" x14ac:dyDescent="0.65">
      <c r="I40" s="5"/>
    </row>
    <row r="41" spans="2:14" ht="15.55" customHeight="1" x14ac:dyDescent="0.65">
      <c r="H41" s="5"/>
    </row>
    <row r="42" spans="2:14" ht="15.55" customHeight="1" thickBot="1" x14ac:dyDescent="0.7">
      <c r="B42" s="77" t="s">
        <v>40</v>
      </c>
      <c r="C42" s="78"/>
      <c r="D42" s="87"/>
      <c r="E42" s="78"/>
      <c r="F42" s="78"/>
      <c r="G42" s="78"/>
      <c r="H42" s="78"/>
      <c r="I42" s="78"/>
      <c r="J42" s="78"/>
      <c r="K42" s="78"/>
      <c r="L42" s="78"/>
      <c r="M42" s="78"/>
      <c r="N42" s="78"/>
    </row>
    <row r="43" spans="2:14" ht="15.55" customHeight="1" x14ac:dyDescent="0.65">
      <c r="B43" s="10" t="s">
        <v>45</v>
      </c>
      <c r="C43" s="10"/>
      <c r="D43" s="85"/>
      <c r="E43" s="10"/>
      <c r="F43" s="10"/>
      <c r="G43" s="10"/>
      <c r="H43" s="10"/>
      <c r="I43" s="10"/>
      <c r="J43" s="10"/>
      <c r="K43" s="10"/>
      <c r="L43" s="10"/>
      <c r="M43" s="10"/>
      <c r="N43" s="86"/>
    </row>
    <row r="44" spans="2:14" ht="15.55" customHeight="1" x14ac:dyDescent="0.65">
      <c r="B44" s="4" t="s">
        <v>46</v>
      </c>
      <c r="N44" s="48"/>
    </row>
    <row r="45" spans="2:14" ht="15.55" customHeight="1" x14ac:dyDescent="0.65">
      <c r="B45" s="17" t="s">
        <v>47</v>
      </c>
      <c r="N45" s="48"/>
    </row>
    <row r="46" spans="2:14" ht="15.55" customHeight="1" x14ac:dyDescent="0.65">
      <c r="B46" s="17" t="s">
        <v>48</v>
      </c>
      <c r="N46" s="48"/>
    </row>
    <row r="47" spans="2:14" ht="15.55" customHeight="1" x14ac:dyDescent="0.65">
      <c r="B47" s="17" t="s">
        <v>49</v>
      </c>
      <c r="N47" s="48"/>
    </row>
    <row r="48" spans="2:14" ht="15.55" customHeight="1" x14ac:dyDescent="0.65">
      <c r="N48" s="48"/>
    </row>
    <row r="49" spans="14:14" ht="15.55" customHeight="1" x14ac:dyDescent="0.65">
      <c r="N49" s="49"/>
    </row>
    <row r="50" spans="14:14" ht="15.55" customHeight="1" x14ac:dyDescent="0.65">
      <c r="N50" s="50"/>
    </row>
  </sheetData>
  <pageMargins left="0.70866141732283472" right="0.70866141732283472" top="0.74803149606299213" bottom="0.74803149606299213" header="0.31496062992125984" footer="0.31496062992125984"/>
  <pageSetup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DCF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Jeffrey Schmidt</cp:lastModifiedBy>
  <cp:lastPrinted>2014-12-13T23:43:21Z</cp:lastPrinted>
  <dcterms:created xsi:type="dcterms:W3CDTF">2014-11-08T22:00:02Z</dcterms:created>
  <dcterms:modified xsi:type="dcterms:W3CDTF">2025-04-28T21:29:34Z</dcterms:modified>
</cp:coreProperties>
</file>